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<sst xmlns="http://schemas.openxmlformats.org/spreadsheetml/2006/main" count="135" uniqueCount="54">
  <si>
    <t>sample_ID</t>
  </si>
  <si>
    <t>pool</t>
  </si>
  <si>
    <t>site</t>
  </si>
  <si>
    <t>transect</t>
  </si>
  <si>
    <t>pH</t>
  </si>
  <si>
    <t>conductivity_µS_cm</t>
  </si>
  <si>
    <t>%OrganicMatter</t>
  </si>
  <si>
    <t>%sand</t>
  </si>
  <si>
    <t>%silt</t>
  </si>
  <si>
    <t>%clay</t>
  </si>
  <si>
    <t>USDA_texture</t>
  </si>
  <si>
    <t>Phosphorus_ppm</t>
  </si>
  <si>
    <t>%Carbon</t>
  </si>
  <si>
    <t>%Nitrogen</t>
  </si>
  <si>
    <t>Carbon:Nitrogen</t>
  </si>
  <si>
    <t>BA-Dist-P1</t>
  </si>
  <si>
    <t>first 5 transect points</t>
  </si>
  <si>
    <t>Babbitt</t>
  </si>
  <si>
    <t>disturbed</t>
  </si>
  <si>
    <t>CLAY</t>
  </si>
  <si>
    <t>BA-Dist-P2</t>
  </si>
  <si>
    <t>second 5 transect points</t>
  </si>
  <si>
    <t>BA-Ref-P1</t>
  </si>
  <si>
    <t>reference</t>
  </si>
  <si>
    <t>SILTY CLAY</t>
  </si>
  <si>
    <t>BA-Ref-P2</t>
  </si>
  <si>
    <t>BT-Dist-P1</t>
  </si>
  <si>
    <t>Bar T Bar</t>
  </si>
  <si>
    <t>CLAY LOAM</t>
  </si>
  <si>
    <t>BT-Dist-P2</t>
  </si>
  <si>
    <t>BT-Ref-P1</t>
  </si>
  <si>
    <t>BT-Ref-P2</t>
  </si>
  <si>
    <t>CL-Dist-P1</t>
  </si>
  <si>
    <t>CRC</t>
  </si>
  <si>
    <t>CL-Dist-P2</t>
  </si>
  <si>
    <t>CL-Ref-P1</t>
  </si>
  <si>
    <t>LOAM</t>
  </si>
  <si>
    <t>CL-Ref-P2</t>
  </si>
  <si>
    <t>FM-Dist-P1</t>
  </si>
  <si>
    <t>Flying M</t>
  </si>
  <si>
    <t>SILTY CLAY LOAM</t>
  </si>
  <si>
    <t>FM-Dist-P2</t>
  </si>
  <si>
    <t>FM-Ref-P1</t>
  </si>
  <si>
    <t>FM-Ref-P2</t>
  </si>
  <si>
    <t>PF-Dist-P1</t>
  </si>
  <si>
    <t>Petrified Forest</t>
  </si>
  <si>
    <t>PF-Dist-P2</t>
  </si>
  <si>
    <t>PF-Ref-P1</t>
  </si>
  <si>
    <t>PF-Ref-P2</t>
  </si>
  <si>
    <t>SP-Dist-P1</t>
  </si>
  <si>
    <t>Spiderweb</t>
  </si>
  <si>
    <t>SP-Dist-P2</t>
  </si>
  <si>
    <t>SP-Ref-P1</t>
  </si>
  <si>
    <t>SP-Ref-P2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</si>
</sst>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color rgb="FFFF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3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right style="thin">
        <color rgb="FFD3D3D3"/>
      </right>
      <bottom style="thin">
        <color rgb="FFD3D3D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Fill="1" applyFont="1"/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10" xfId="0" applyFont="1" applyNumberFormat="1"/>
    <xf borderId="0" fillId="0" fontId="4" numFmtId="0" xfId="0" applyFont="1"/>
    <xf borderId="1" fillId="0" fontId="0" numFmtId="0" xfId="0" applyAlignment="1" applyBorder="1" applyFont="1">
      <alignment horizontal="center" readingOrder="0" vertical="top"/>
    </xf>
    <xf borderId="0" fillId="0" fontId="5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2" fillId="0" fontId="0" numFmtId="0" xfId="0" applyAlignment="1" applyBorder="1" applyFont="1">
      <alignment horizontal="center" readingOrder="0" vertical="top"/>
    </xf>
    <xf borderId="0" fillId="0" fontId="5" numFmtId="0" xfId="0" applyAlignment="1" applyFont="1">
      <alignment vertical="bottom"/>
    </xf>
    <xf borderId="0" fillId="0" fontId="7" numFmtId="0" xfId="0" applyFont="1"/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4" max="4" width="10.5"/>
    <col customWidth="1" min="5" max="5" width="9.25"/>
    <col customWidth="1" min="6" max="6" width="23.38"/>
    <col customWidth="1" min="7" max="7" width="14.75"/>
    <col customWidth="1" min="9" max="11" width="18.0"/>
    <col customWidth="1" min="12" max="12" width="15.0"/>
    <col customWidth="1" min="15" max="1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/>
      <c r="Q1" s="5"/>
      <c r="R1" s="5"/>
      <c r="S1" s="5"/>
      <c r="T1" s="5"/>
      <c r="U1" s="5"/>
    </row>
    <row r="2">
      <c r="A2" s="6" t="s">
        <v>15</v>
      </c>
      <c r="B2" s="6" t="s">
        <v>16</v>
      </c>
      <c r="C2" s="6" t="s">
        <v>17</v>
      </c>
      <c r="D2" s="6" t="s">
        <v>18</v>
      </c>
      <c r="E2" s="7">
        <v>7.05</v>
      </c>
      <c r="F2" s="7">
        <v>59.5</v>
      </c>
      <c r="G2" s="8">
        <v>1.906577693</v>
      </c>
      <c r="H2" s="9">
        <v>0.0505</v>
      </c>
      <c r="I2" s="9">
        <f t="shared" ref="I2:I25" si="1">1-(H2+J2)</f>
        <v>0.3218</v>
      </c>
      <c r="J2" s="9">
        <v>0.6277</v>
      </c>
      <c r="K2" s="10" t="s">
        <v>19</v>
      </c>
      <c r="L2" s="11">
        <v>22.76</v>
      </c>
      <c r="M2" s="12">
        <v>0.48</v>
      </c>
      <c r="N2" s="12">
        <v>0.06</v>
      </c>
      <c r="O2" s="13">
        <v>8.35</v>
      </c>
    </row>
    <row r="3">
      <c r="A3" s="6" t="s">
        <v>20</v>
      </c>
      <c r="B3" s="6" t="s">
        <v>21</v>
      </c>
      <c r="C3" s="6" t="s">
        <v>17</v>
      </c>
      <c r="D3" s="6" t="s">
        <v>18</v>
      </c>
      <c r="E3" s="7">
        <v>7.07</v>
      </c>
      <c r="F3" s="7">
        <v>66.0</v>
      </c>
      <c r="G3" s="8">
        <v>2.532833021</v>
      </c>
      <c r="H3" s="9">
        <v>0.0286</v>
      </c>
      <c r="I3" s="9">
        <f t="shared" si="1"/>
        <v>0.3692</v>
      </c>
      <c r="J3" s="9">
        <v>0.6022</v>
      </c>
      <c r="K3" s="10" t="s">
        <v>19</v>
      </c>
      <c r="L3" s="14">
        <v>25.4</v>
      </c>
      <c r="M3" s="12">
        <v>0.58</v>
      </c>
      <c r="N3" s="12">
        <v>0.07</v>
      </c>
      <c r="O3" s="13">
        <v>8.6</v>
      </c>
    </row>
    <row r="4">
      <c r="A4" s="6" t="s">
        <v>22</v>
      </c>
      <c r="B4" s="6" t="s">
        <v>16</v>
      </c>
      <c r="C4" s="6" t="s">
        <v>17</v>
      </c>
      <c r="D4" s="6" t="s">
        <v>23</v>
      </c>
      <c r="E4" s="7">
        <v>7.56</v>
      </c>
      <c r="F4" s="7">
        <v>58.0</v>
      </c>
      <c r="G4" s="8">
        <v>1.992409867</v>
      </c>
      <c r="H4" s="9">
        <v>0.0668</v>
      </c>
      <c r="I4" s="9">
        <f t="shared" si="1"/>
        <v>0.4516</v>
      </c>
      <c r="J4" s="9">
        <v>0.4816</v>
      </c>
      <c r="K4" s="10" t="s">
        <v>24</v>
      </c>
      <c r="L4" s="14">
        <v>18.98</v>
      </c>
      <c r="M4" s="12">
        <v>0.49</v>
      </c>
      <c r="N4" s="12">
        <v>0.06</v>
      </c>
      <c r="O4" s="13">
        <v>8.36</v>
      </c>
    </row>
    <row r="5">
      <c r="A5" s="6" t="s">
        <v>25</v>
      </c>
      <c r="B5" s="6" t="s">
        <v>21</v>
      </c>
      <c r="C5" s="6" t="s">
        <v>17</v>
      </c>
      <c r="D5" s="6" t="s">
        <v>23</v>
      </c>
      <c r="E5" s="7">
        <v>7.34</v>
      </c>
      <c r="F5" s="7">
        <v>59.6</v>
      </c>
      <c r="G5" s="8">
        <v>1.908396947</v>
      </c>
      <c r="H5" s="9">
        <v>0.0686</v>
      </c>
      <c r="I5" s="9">
        <f t="shared" si="1"/>
        <v>0.3492</v>
      </c>
      <c r="J5" s="9">
        <v>0.5822</v>
      </c>
      <c r="K5" s="10" t="s">
        <v>19</v>
      </c>
      <c r="L5" s="14">
        <v>18.56</v>
      </c>
      <c r="M5" s="12">
        <v>0.47</v>
      </c>
      <c r="N5" s="12">
        <v>0.06</v>
      </c>
      <c r="O5" s="13">
        <v>8.25</v>
      </c>
    </row>
    <row r="6">
      <c r="A6" s="6" t="s">
        <v>26</v>
      </c>
      <c r="B6" s="6" t="s">
        <v>16</v>
      </c>
      <c r="C6" s="6" t="s">
        <v>27</v>
      </c>
      <c r="D6" s="6" t="s">
        <v>18</v>
      </c>
      <c r="E6" s="7">
        <v>8.02</v>
      </c>
      <c r="F6" s="7">
        <v>257.0</v>
      </c>
      <c r="G6" s="8">
        <v>4.580152672</v>
      </c>
      <c r="H6" s="9">
        <v>0.234</v>
      </c>
      <c r="I6" s="9">
        <f t="shared" si="1"/>
        <v>0.4713</v>
      </c>
      <c r="J6" s="9">
        <v>0.2947</v>
      </c>
      <c r="K6" s="10" t="s">
        <v>28</v>
      </c>
      <c r="L6" s="14">
        <v>25.77</v>
      </c>
      <c r="M6" s="12">
        <v>3.35</v>
      </c>
      <c r="N6" s="12">
        <v>0.26</v>
      </c>
      <c r="O6" s="13">
        <v>13.1</v>
      </c>
    </row>
    <row r="7">
      <c r="A7" s="6" t="s">
        <v>29</v>
      </c>
      <c r="B7" s="6" t="s">
        <v>21</v>
      </c>
      <c r="C7" s="6" t="s">
        <v>27</v>
      </c>
      <c r="D7" s="6" t="s">
        <v>18</v>
      </c>
      <c r="E7" s="7">
        <v>8.05</v>
      </c>
      <c r="F7" s="7">
        <v>135.4</v>
      </c>
      <c r="G7" s="8">
        <v>3.58490566</v>
      </c>
      <c r="H7" s="9">
        <v>0.2964</v>
      </c>
      <c r="I7" s="9">
        <f t="shared" si="1"/>
        <v>0.4096</v>
      </c>
      <c r="J7" s="9">
        <v>0.294</v>
      </c>
      <c r="K7" s="10" t="s">
        <v>28</v>
      </c>
      <c r="L7" s="14">
        <v>21.62</v>
      </c>
      <c r="M7" s="12">
        <v>3.14</v>
      </c>
      <c r="N7" s="12">
        <v>0.2</v>
      </c>
      <c r="O7" s="13">
        <v>15.38</v>
      </c>
    </row>
    <row r="8">
      <c r="A8" s="6" t="s">
        <v>30</v>
      </c>
      <c r="B8" s="6" t="s">
        <v>16</v>
      </c>
      <c r="C8" s="6" t="s">
        <v>27</v>
      </c>
      <c r="D8" s="6" t="s">
        <v>23</v>
      </c>
      <c r="E8" s="7">
        <v>8.08</v>
      </c>
      <c r="F8" s="7">
        <v>96.5</v>
      </c>
      <c r="G8" s="8">
        <v>1.940850277</v>
      </c>
      <c r="H8" s="9">
        <v>0.3644</v>
      </c>
      <c r="I8" s="9">
        <f t="shared" si="1"/>
        <v>0.3309</v>
      </c>
      <c r="J8" s="9">
        <v>0.3047</v>
      </c>
      <c r="K8" s="10" t="s">
        <v>28</v>
      </c>
      <c r="L8" s="14">
        <v>14.41</v>
      </c>
      <c r="M8" s="12">
        <v>1.35</v>
      </c>
      <c r="N8" s="12">
        <v>0.08</v>
      </c>
      <c r="O8" s="13">
        <v>17.01</v>
      </c>
    </row>
    <row r="9">
      <c r="A9" s="6" t="s">
        <v>31</v>
      </c>
      <c r="B9" s="6" t="s">
        <v>21</v>
      </c>
      <c r="C9" s="6" t="s">
        <v>27</v>
      </c>
      <c r="D9" s="6" t="s">
        <v>23</v>
      </c>
      <c r="E9" s="7">
        <v>8.0</v>
      </c>
      <c r="F9" s="7">
        <v>114.8</v>
      </c>
      <c r="G9" s="8">
        <v>2.332361516</v>
      </c>
      <c r="H9" s="9">
        <v>0.3849</v>
      </c>
      <c r="I9" s="9">
        <f t="shared" si="1"/>
        <v>0.3398</v>
      </c>
      <c r="J9" s="9">
        <v>0.2753</v>
      </c>
      <c r="K9" s="10" t="s">
        <v>28</v>
      </c>
      <c r="L9" s="14">
        <v>17.47</v>
      </c>
      <c r="M9" s="12">
        <v>2.16</v>
      </c>
      <c r="N9" s="12">
        <v>0.11</v>
      </c>
      <c r="O9" s="13">
        <v>19.81</v>
      </c>
    </row>
    <row r="10">
      <c r="A10" s="15" t="s">
        <v>32</v>
      </c>
      <c r="B10" s="6" t="s">
        <v>16</v>
      </c>
      <c r="C10" s="6" t="s">
        <v>33</v>
      </c>
      <c r="D10" s="6" t="s">
        <v>18</v>
      </c>
      <c r="E10" s="7">
        <v>8.86</v>
      </c>
      <c r="F10" s="7">
        <v>124.1</v>
      </c>
      <c r="G10" s="8">
        <v>1.401869159</v>
      </c>
      <c r="H10" s="9">
        <v>0.2792</v>
      </c>
      <c r="I10" s="9">
        <f t="shared" si="1"/>
        <v>0.402</v>
      </c>
      <c r="J10" s="9">
        <v>0.3188</v>
      </c>
      <c r="K10" s="10" t="s">
        <v>28</v>
      </c>
      <c r="L10" s="14">
        <v>9.31</v>
      </c>
      <c r="M10" s="12">
        <v>2.78</v>
      </c>
      <c r="N10" s="12">
        <v>0.15</v>
      </c>
      <c r="O10" s="13">
        <v>18.14</v>
      </c>
    </row>
    <row r="11">
      <c r="A11" s="15" t="s">
        <v>34</v>
      </c>
      <c r="B11" s="6" t="s">
        <v>21</v>
      </c>
      <c r="C11" s="6" t="s">
        <v>33</v>
      </c>
      <c r="D11" s="6" t="s">
        <v>18</v>
      </c>
      <c r="E11" s="7">
        <v>8.54</v>
      </c>
      <c r="F11" s="7">
        <v>127.5</v>
      </c>
      <c r="G11" s="8">
        <v>1.666666667</v>
      </c>
      <c r="H11" s="9">
        <v>0.289</v>
      </c>
      <c r="I11" s="9">
        <f t="shared" si="1"/>
        <v>0.3726</v>
      </c>
      <c r="J11" s="9">
        <v>0.3384</v>
      </c>
      <c r="K11" s="10" t="s">
        <v>28</v>
      </c>
      <c r="L11" s="14">
        <v>15.78</v>
      </c>
      <c r="M11" s="12">
        <v>2.35</v>
      </c>
      <c r="N11" s="12">
        <v>0.09</v>
      </c>
      <c r="O11" s="13">
        <v>27.42</v>
      </c>
    </row>
    <row r="12">
      <c r="A12" s="15" t="s">
        <v>35</v>
      </c>
      <c r="B12" s="6" t="s">
        <v>16</v>
      </c>
      <c r="C12" s="6" t="s">
        <v>33</v>
      </c>
      <c r="D12" s="6" t="s">
        <v>23</v>
      </c>
      <c r="E12" s="7">
        <v>8.43</v>
      </c>
      <c r="F12" s="7">
        <v>91.9</v>
      </c>
      <c r="G12" s="8">
        <v>0.946969697</v>
      </c>
      <c r="H12" s="9">
        <v>0.4416</v>
      </c>
      <c r="I12" s="9">
        <f t="shared" si="1"/>
        <v>0.3294</v>
      </c>
      <c r="J12" s="9">
        <v>0.229</v>
      </c>
      <c r="K12" s="10" t="s">
        <v>36</v>
      </c>
      <c r="L12" s="14">
        <v>10.78</v>
      </c>
      <c r="M12" s="12">
        <v>1.11</v>
      </c>
      <c r="N12" s="12">
        <v>0.02</v>
      </c>
      <c r="O12" s="13">
        <v>53.03</v>
      </c>
    </row>
    <row r="13">
      <c r="A13" s="15" t="s">
        <v>37</v>
      </c>
      <c r="B13" s="6" t="s">
        <v>21</v>
      </c>
      <c r="C13" s="6" t="s">
        <v>33</v>
      </c>
      <c r="D13" s="6" t="s">
        <v>23</v>
      </c>
      <c r="E13" s="7">
        <v>8.53</v>
      </c>
      <c r="F13" s="7">
        <v>90.9</v>
      </c>
      <c r="G13" s="8">
        <v>0.8814887365</v>
      </c>
      <c r="H13" s="9">
        <v>0.3985</v>
      </c>
      <c r="I13" s="9">
        <f t="shared" si="1"/>
        <v>0.362</v>
      </c>
      <c r="J13" s="9">
        <v>0.2395</v>
      </c>
      <c r="K13" s="10" t="s">
        <v>36</v>
      </c>
      <c r="L13" s="14">
        <v>10.54</v>
      </c>
      <c r="M13" s="12">
        <v>2.28</v>
      </c>
      <c r="N13" s="12">
        <v>0.04</v>
      </c>
      <c r="O13" s="13">
        <v>60.35</v>
      </c>
    </row>
    <row r="14">
      <c r="A14" s="15" t="s">
        <v>38</v>
      </c>
      <c r="B14" s="6" t="s">
        <v>16</v>
      </c>
      <c r="C14" s="6" t="s">
        <v>39</v>
      </c>
      <c r="D14" s="6" t="s">
        <v>18</v>
      </c>
      <c r="E14" s="7">
        <v>8.5</v>
      </c>
      <c r="F14" s="7">
        <v>119.2</v>
      </c>
      <c r="G14" s="8">
        <v>3.520456708</v>
      </c>
      <c r="H14" s="9">
        <v>0.1416</v>
      </c>
      <c r="I14" s="9">
        <f t="shared" si="1"/>
        <v>0.4726</v>
      </c>
      <c r="J14" s="9">
        <v>0.3858</v>
      </c>
      <c r="K14" s="10" t="s">
        <v>40</v>
      </c>
      <c r="L14" s="14">
        <v>25.68</v>
      </c>
      <c r="M14" s="12">
        <v>2.77</v>
      </c>
      <c r="N14" s="12">
        <v>0.17</v>
      </c>
      <c r="O14" s="13">
        <v>16.14</v>
      </c>
    </row>
    <row r="15">
      <c r="A15" s="15" t="s">
        <v>41</v>
      </c>
      <c r="B15" s="6" t="s">
        <v>21</v>
      </c>
      <c r="C15" s="6" t="s">
        <v>39</v>
      </c>
      <c r="D15" s="6" t="s">
        <v>18</v>
      </c>
      <c r="E15" s="7">
        <v>8.45</v>
      </c>
      <c r="F15" s="7">
        <v>123.7</v>
      </c>
      <c r="G15" s="8">
        <v>3.732057416</v>
      </c>
      <c r="H15" s="9">
        <v>0.0989</v>
      </c>
      <c r="I15" s="9">
        <f t="shared" si="1"/>
        <v>0.5229</v>
      </c>
      <c r="J15" s="9">
        <v>0.3782</v>
      </c>
      <c r="K15" s="10" t="s">
        <v>40</v>
      </c>
      <c r="L15" s="14">
        <v>26.76</v>
      </c>
      <c r="M15" s="12">
        <v>2.96</v>
      </c>
      <c r="N15" s="12">
        <v>0.19</v>
      </c>
      <c r="O15" s="13">
        <v>15.92</v>
      </c>
    </row>
    <row r="16">
      <c r="A16" s="15" t="s">
        <v>42</v>
      </c>
      <c r="B16" s="6" t="s">
        <v>16</v>
      </c>
      <c r="C16" s="6" t="s">
        <v>39</v>
      </c>
      <c r="D16" s="6" t="s">
        <v>23</v>
      </c>
      <c r="E16" s="7">
        <v>8.04</v>
      </c>
      <c r="F16" s="7">
        <v>118.8</v>
      </c>
      <c r="G16" s="8">
        <v>6.166982922</v>
      </c>
      <c r="H16" s="9">
        <v>0.1222</v>
      </c>
      <c r="I16" s="9">
        <f t="shared" si="1"/>
        <v>0.4816</v>
      </c>
      <c r="J16" s="9">
        <v>0.3962</v>
      </c>
      <c r="K16" s="10" t="s">
        <v>40</v>
      </c>
      <c r="L16" s="14">
        <v>26.01</v>
      </c>
      <c r="M16" s="12">
        <v>3.75</v>
      </c>
      <c r="N16" s="12">
        <v>0.25</v>
      </c>
      <c r="O16" s="13">
        <v>15.05</v>
      </c>
    </row>
    <row r="17">
      <c r="A17" s="15" t="s">
        <v>43</v>
      </c>
      <c r="B17" s="6" t="s">
        <v>21</v>
      </c>
      <c r="C17" s="6" t="s">
        <v>39</v>
      </c>
      <c r="D17" s="6" t="s">
        <v>23</v>
      </c>
      <c r="E17" s="7">
        <v>8.05</v>
      </c>
      <c r="F17" s="7">
        <v>123.8</v>
      </c>
      <c r="G17" s="8">
        <v>5.106778087</v>
      </c>
      <c r="H17" s="9">
        <v>0.0949</v>
      </c>
      <c r="I17" s="9">
        <f t="shared" si="1"/>
        <v>0.5202</v>
      </c>
      <c r="J17" s="9">
        <v>0.3849</v>
      </c>
      <c r="K17" s="10" t="s">
        <v>40</v>
      </c>
      <c r="L17" s="14">
        <v>24.17</v>
      </c>
      <c r="M17" s="12">
        <v>3.08</v>
      </c>
      <c r="N17" s="12">
        <v>0.21</v>
      </c>
      <c r="O17" s="13">
        <v>14.52</v>
      </c>
    </row>
    <row r="18">
      <c r="A18" s="15" t="s">
        <v>44</v>
      </c>
      <c r="B18" s="6" t="s">
        <v>16</v>
      </c>
      <c r="C18" s="6" t="s">
        <v>45</v>
      </c>
      <c r="D18" s="6" t="s">
        <v>18</v>
      </c>
      <c r="E18" s="7">
        <v>9.2</v>
      </c>
      <c r="F18" s="7">
        <v>196.0</v>
      </c>
      <c r="G18" s="8">
        <v>1.688555347</v>
      </c>
      <c r="H18" s="9">
        <v>0.4066</v>
      </c>
      <c r="I18" s="9">
        <f t="shared" si="1"/>
        <v>0.2599</v>
      </c>
      <c r="J18" s="9">
        <v>0.3335</v>
      </c>
      <c r="K18" s="10" t="s">
        <v>28</v>
      </c>
      <c r="L18" s="14">
        <v>9.22</v>
      </c>
      <c r="M18" s="12">
        <v>0.64</v>
      </c>
      <c r="N18" s="12">
        <v>0.06</v>
      </c>
      <c r="O18" s="13">
        <v>11.31</v>
      </c>
    </row>
    <row r="19">
      <c r="A19" s="15" t="s">
        <v>46</v>
      </c>
      <c r="B19" s="6" t="s">
        <v>21</v>
      </c>
      <c r="C19" s="6" t="s">
        <v>45</v>
      </c>
      <c r="D19" s="6" t="s">
        <v>18</v>
      </c>
      <c r="E19" s="7">
        <v>9.63</v>
      </c>
      <c r="F19" s="7">
        <v>285.0</v>
      </c>
      <c r="G19" s="8">
        <v>1.446480231</v>
      </c>
      <c r="H19" s="9">
        <v>0.4155</v>
      </c>
      <c r="I19" s="9">
        <f t="shared" si="1"/>
        <v>0.2484</v>
      </c>
      <c r="J19" s="9">
        <v>0.3361</v>
      </c>
      <c r="K19" s="10" t="s">
        <v>28</v>
      </c>
      <c r="L19" s="14">
        <v>8.47</v>
      </c>
      <c r="M19" s="12">
        <v>0.61</v>
      </c>
      <c r="N19" s="12">
        <v>0.05</v>
      </c>
      <c r="O19" s="13">
        <v>13.28</v>
      </c>
    </row>
    <row r="20">
      <c r="A20" s="15" t="s">
        <v>47</v>
      </c>
      <c r="B20" s="6" t="s">
        <v>16</v>
      </c>
      <c r="C20" s="6" t="s">
        <v>45</v>
      </c>
      <c r="D20" s="6" t="s">
        <v>23</v>
      </c>
      <c r="E20" s="7">
        <v>9.08</v>
      </c>
      <c r="F20" s="7">
        <v>94.0</v>
      </c>
      <c r="G20" s="8">
        <v>0.9606147935</v>
      </c>
      <c r="H20" s="9">
        <v>0.445</v>
      </c>
      <c r="I20" s="9">
        <f t="shared" si="1"/>
        <v>0.239</v>
      </c>
      <c r="J20" s="9">
        <v>0.316</v>
      </c>
      <c r="K20" s="10" t="s">
        <v>28</v>
      </c>
      <c r="L20" s="14">
        <v>3.89</v>
      </c>
      <c r="M20" s="12">
        <v>0.38</v>
      </c>
      <c r="N20" s="12">
        <v>0.02</v>
      </c>
      <c r="O20" s="13">
        <v>17.25</v>
      </c>
    </row>
    <row r="21">
      <c r="A21" s="15" t="s">
        <v>48</v>
      </c>
      <c r="B21" s="6" t="s">
        <v>21</v>
      </c>
      <c r="C21" s="6" t="s">
        <v>45</v>
      </c>
      <c r="D21" s="6" t="s">
        <v>23</v>
      </c>
      <c r="E21" s="7">
        <v>8.92</v>
      </c>
      <c r="F21" s="7">
        <v>164.0</v>
      </c>
      <c r="G21" s="8">
        <v>1.519468186</v>
      </c>
      <c r="H21" s="9">
        <v>0.4337</v>
      </c>
      <c r="I21" s="9">
        <f t="shared" si="1"/>
        <v>0.1522</v>
      </c>
      <c r="J21" s="9">
        <v>0.4141</v>
      </c>
      <c r="K21" s="10" t="s">
        <v>19</v>
      </c>
      <c r="L21" s="14">
        <v>7.71</v>
      </c>
      <c r="M21" s="12">
        <v>0.57</v>
      </c>
      <c r="N21" s="12">
        <v>0.04</v>
      </c>
      <c r="O21" s="13">
        <v>13.89</v>
      </c>
    </row>
    <row r="22">
      <c r="A22" s="15" t="s">
        <v>49</v>
      </c>
      <c r="B22" s="6" t="s">
        <v>16</v>
      </c>
      <c r="C22" s="6" t="s">
        <v>50</v>
      </c>
      <c r="D22" s="6" t="s">
        <v>18</v>
      </c>
      <c r="E22" s="7">
        <v>9.4</v>
      </c>
      <c r="F22" s="7">
        <v>82.9</v>
      </c>
      <c r="G22" s="8">
        <v>0.5774783446</v>
      </c>
      <c r="H22" s="9">
        <v>0.48</v>
      </c>
      <c r="I22" s="9">
        <f t="shared" si="1"/>
        <v>0.3311</v>
      </c>
      <c r="J22" s="9">
        <v>0.1889</v>
      </c>
      <c r="K22" s="10" t="s">
        <v>36</v>
      </c>
      <c r="L22" s="14">
        <v>5.54</v>
      </c>
      <c r="M22" s="12">
        <v>2.89</v>
      </c>
      <c r="N22" s="12">
        <v>0.02</v>
      </c>
      <c r="O22" s="13">
        <v>122.99</v>
      </c>
    </row>
    <row r="23">
      <c r="A23" s="15" t="s">
        <v>51</v>
      </c>
      <c r="B23" s="6" t="s">
        <v>21</v>
      </c>
      <c r="C23" s="6" t="s">
        <v>50</v>
      </c>
      <c r="D23" s="6" t="s">
        <v>18</v>
      </c>
      <c r="E23" s="7">
        <v>9.54</v>
      </c>
      <c r="F23" s="7">
        <v>94.2</v>
      </c>
      <c r="G23" s="8">
        <v>0.8482563619</v>
      </c>
      <c r="H23" s="9">
        <v>0.4591</v>
      </c>
      <c r="I23" s="9">
        <f t="shared" si="1"/>
        <v>0.3416</v>
      </c>
      <c r="J23" s="9">
        <v>0.1993</v>
      </c>
      <c r="K23" s="10" t="s">
        <v>36</v>
      </c>
      <c r="L23" s="14">
        <v>5.92</v>
      </c>
      <c r="M23" s="12">
        <v>2.49</v>
      </c>
      <c r="N23" s="12">
        <v>0.01</v>
      </c>
      <c r="O23" s="13">
        <v>173.19</v>
      </c>
    </row>
    <row r="24">
      <c r="A24" s="15" t="s">
        <v>52</v>
      </c>
      <c r="B24" s="6" t="s">
        <v>16</v>
      </c>
      <c r="C24" s="6" t="s">
        <v>50</v>
      </c>
      <c r="D24" s="6" t="s">
        <v>23</v>
      </c>
      <c r="E24" s="7">
        <v>8.98</v>
      </c>
      <c r="F24" s="7">
        <v>94.1</v>
      </c>
      <c r="G24" s="8">
        <v>1.066925315</v>
      </c>
      <c r="H24" s="9">
        <v>0.4985</v>
      </c>
      <c r="I24" s="9">
        <f t="shared" si="1"/>
        <v>0.3126</v>
      </c>
      <c r="J24" s="9">
        <v>0.1889</v>
      </c>
      <c r="K24" s="10" t="s">
        <v>36</v>
      </c>
      <c r="L24" s="14">
        <v>7.05</v>
      </c>
      <c r="M24" s="12">
        <v>1.69</v>
      </c>
      <c r="N24" s="12">
        <v>0.03</v>
      </c>
      <c r="O24" s="13">
        <v>53.37</v>
      </c>
    </row>
    <row r="25">
      <c r="A25" s="15" t="s">
        <v>53</v>
      </c>
      <c r="B25" s="6" t="s">
        <v>21</v>
      </c>
      <c r="C25" s="6" t="s">
        <v>50</v>
      </c>
      <c r="D25" s="6" t="s">
        <v>23</v>
      </c>
      <c r="E25" s="7">
        <v>9.14</v>
      </c>
      <c r="F25" s="7">
        <v>89.7</v>
      </c>
      <c r="G25" s="8">
        <v>0.9523809524</v>
      </c>
      <c r="H25" s="9">
        <v>0.5185</v>
      </c>
      <c r="I25" s="9">
        <f t="shared" si="1"/>
        <v>0.2923</v>
      </c>
      <c r="J25" s="9">
        <v>0.1892</v>
      </c>
      <c r="K25" s="10" t="s">
        <v>36</v>
      </c>
      <c r="L25" s="14">
        <v>6.81</v>
      </c>
      <c r="M25" s="12">
        <v>0.85</v>
      </c>
      <c r="N25" s="12">
        <v>0.02</v>
      </c>
      <c r="O25" s="13">
        <v>36.22</v>
      </c>
    </row>
    <row r="26">
      <c r="O26" s="16"/>
      <c r="P26" s="17"/>
    </row>
    <row r="27">
      <c r="O27" s="16"/>
    </row>
    <row r="28">
      <c r="O28" s="16"/>
    </row>
    <row r="29">
      <c r="O29" s="16"/>
    </row>
    <row r="30">
      <c r="O30" s="16"/>
    </row>
    <row r="31">
      <c r="O31" s="16"/>
    </row>
    <row r="32">
      <c r="O32" s="16"/>
    </row>
    <row r="33">
      <c r="O33" s="16"/>
    </row>
    <row r="34">
      <c r="O34" s="16"/>
    </row>
    <row r="35">
      <c r="O35" s="16"/>
    </row>
    <row r="36">
      <c r="O36" s="16"/>
    </row>
    <row r="37">
      <c r="O37" s="16"/>
    </row>
    <row r="38">
      <c r="O38" s="16"/>
    </row>
    <row r="39">
      <c r="O39" s="16"/>
    </row>
    <row r="40">
      <c r="O40" s="16"/>
    </row>
    <row r="41">
      <c r="O41" s="16"/>
    </row>
    <row r="42">
      <c r="O42" s="16"/>
    </row>
    <row r="43">
      <c r="O43" s="16"/>
    </row>
    <row r="44">
      <c r="O44" s="16"/>
    </row>
    <row r="45">
      <c r="O45" s="16"/>
    </row>
    <row r="46">
      <c r="O46" s="16"/>
    </row>
    <row r="47">
      <c r="O47" s="16"/>
    </row>
    <row r="48">
      <c r="O48" s="16"/>
    </row>
    <row r="49">
      <c r="O49" s="16"/>
    </row>
    <row r="50">
      <c r="O50" s="16"/>
    </row>
    <row r="51">
      <c r="O51" s="16"/>
    </row>
    <row r="52">
      <c r="O52" s="16"/>
    </row>
    <row r="53">
      <c r="O53" s="16"/>
    </row>
    <row r="54">
      <c r="O54" s="16"/>
    </row>
    <row r="55">
      <c r="O55" s="16"/>
    </row>
    <row r="56">
      <c r="O56" s="16"/>
    </row>
    <row r="57">
      <c r="O57" s="16"/>
    </row>
    <row r="58">
      <c r="O58" s="16"/>
    </row>
    <row r="59">
      <c r="O59" s="16"/>
    </row>
    <row r="60">
      <c r="O60" s="16"/>
    </row>
    <row r="61">
      <c r="O61" s="16"/>
    </row>
    <row r="62">
      <c r="O62" s="16"/>
    </row>
    <row r="63">
      <c r="O63" s="16"/>
    </row>
    <row r="64">
      <c r="O64" s="16"/>
    </row>
    <row r="65">
      <c r="O65" s="16"/>
    </row>
    <row r="66">
      <c r="O66" s="16"/>
    </row>
    <row r="67">
      <c r="O67" s="16"/>
    </row>
    <row r="68">
      <c r="O68" s="16"/>
    </row>
    <row r="69">
      <c r="O69" s="16"/>
    </row>
    <row r="70">
      <c r="O70" s="16"/>
    </row>
    <row r="71">
      <c r="O71" s="16"/>
    </row>
    <row r="72">
      <c r="O72" s="16"/>
    </row>
    <row r="73">
      <c r="O73" s="16"/>
    </row>
    <row r="74">
      <c r="O74" s="16"/>
    </row>
    <row r="75">
      <c r="O75" s="16"/>
    </row>
    <row r="76">
      <c r="O76" s="16"/>
    </row>
    <row r="77">
      <c r="O77" s="16"/>
    </row>
    <row r="78">
      <c r="O78" s="16"/>
    </row>
    <row r="79">
      <c r="O79" s="16"/>
    </row>
    <row r="80">
      <c r="O80" s="16"/>
    </row>
    <row r="81">
      <c r="O81" s="16"/>
    </row>
    <row r="82">
      <c r="O82" s="16"/>
    </row>
    <row r="83">
      <c r="O83" s="16"/>
    </row>
    <row r="84">
      <c r="O84" s="16"/>
    </row>
    <row r="85">
      <c r="O85" s="16"/>
    </row>
    <row r="86">
      <c r="O86" s="16"/>
    </row>
    <row r="87">
      <c r="O87" s="16"/>
    </row>
    <row r="88">
      <c r="O88" s="16"/>
    </row>
    <row r="89">
      <c r="O89" s="16"/>
    </row>
    <row r="90">
      <c r="O90" s="16"/>
    </row>
    <row r="91">
      <c r="O91" s="16"/>
    </row>
    <row r="92">
      <c r="O92" s="16"/>
    </row>
    <row r="93">
      <c r="O93" s="16"/>
    </row>
    <row r="94">
      <c r="O94" s="16"/>
    </row>
    <row r="95">
      <c r="O95" s="16"/>
    </row>
    <row r="96">
      <c r="O96" s="16"/>
    </row>
    <row r="97">
      <c r="O97" s="16"/>
    </row>
    <row r="98">
      <c r="O98" s="16"/>
    </row>
    <row r="99">
      <c r="O99" s="16"/>
    </row>
    <row r="100">
      <c r="O100" s="16"/>
    </row>
    <row r="101">
      <c r="O101" s="16"/>
    </row>
    <row r="102">
      <c r="O102" s="16"/>
    </row>
    <row r="103">
      <c r="O103" s="16"/>
    </row>
    <row r="104">
      <c r="O104" s="16"/>
    </row>
    <row r="105">
      <c r="O105" s="16"/>
    </row>
    <row r="106">
      <c r="O106" s="16"/>
    </row>
    <row r="107">
      <c r="O107" s="16"/>
    </row>
    <row r="108">
      <c r="O108" s="16"/>
    </row>
    <row r="109">
      <c r="O109" s="16"/>
    </row>
    <row r="110">
      <c r="O110" s="16"/>
    </row>
    <row r="111">
      <c r="O111" s="16"/>
    </row>
    <row r="112">
      <c r="O112" s="16"/>
    </row>
    <row r="113">
      <c r="O113" s="16"/>
    </row>
    <row r="114">
      <c r="O114" s="16"/>
    </row>
    <row r="115">
      <c r="O115" s="16"/>
    </row>
    <row r="116">
      <c r="O116" s="16"/>
    </row>
    <row r="117">
      <c r="O117" s="16"/>
    </row>
    <row r="118">
      <c r="O118" s="16"/>
    </row>
    <row r="119">
      <c r="O119" s="16"/>
    </row>
    <row r="120">
      <c r="O120" s="16"/>
    </row>
    <row r="121">
      <c r="O121" s="16"/>
    </row>
    <row r="122">
      <c r="O122" s="16"/>
    </row>
    <row r="123">
      <c r="O123" s="16"/>
    </row>
    <row r="124">
      <c r="O124" s="16"/>
    </row>
    <row r="125">
      <c r="O125" s="16"/>
    </row>
    <row r="126">
      <c r="O126" s="16"/>
    </row>
    <row r="127">
      <c r="O127" s="16"/>
    </row>
    <row r="128">
      <c r="O128" s="16"/>
    </row>
    <row r="129">
      <c r="O129" s="16"/>
    </row>
    <row r="130">
      <c r="O130" s="16"/>
    </row>
    <row r="131">
      <c r="O131" s="16"/>
    </row>
    <row r="132">
      <c r="O132" s="16"/>
    </row>
    <row r="133">
      <c r="O133" s="16"/>
    </row>
    <row r="134">
      <c r="O134" s="16"/>
    </row>
    <row r="135">
      <c r="O135" s="16"/>
    </row>
    <row r="136">
      <c r="O136" s="16"/>
    </row>
    <row r="137">
      <c r="O137" s="16"/>
    </row>
    <row r="138">
      <c r="O138" s="16"/>
    </row>
    <row r="139">
      <c r="O139" s="16"/>
    </row>
    <row r="140">
      <c r="O140" s="16"/>
    </row>
    <row r="141">
      <c r="O141" s="16"/>
    </row>
    <row r="142">
      <c r="O142" s="16"/>
    </row>
    <row r="143">
      <c r="O143" s="16"/>
    </row>
    <row r="144">
      <c r="O144" s="16"/>
    </row>
    <row r="145">
      <c r="O145" s="16"/>
    </row>
    <row r="146">
      <c r="O146" s="16"/>
    </row>
    <row r="147">
      <c r="O147" s="16"/>
    </row>
    <row r="148">
      <c r="O148" s="16"/>
    </row>
    <row r="149">
      <c r="O149" s="16"/>
    </row>
    <row r="150">
      <c r="O150" s="16"/>
    </row>
    <row r="151">
      <c r="O151" s="16"/>
    </row>
    <row r="152">
      <c r="O152" s="16"/>
    </row>
    <row r="153">
      <c r="O153" s="16"/>
    </row>
    <row r="154">
      <c r="O154" s="16"/>
    </row>
    <row r="155">
      <c r="O155" s="16"/>
    </row>
    <row r="156">
      <c r="O156" s="16"/>
    </row>
    <row r="157">
      <c r="O157" s="16"/>
    </row>
    <row r="158">
      <c r="O158" s="16"/>
    </row>
    <row r="159">
      <c r="O159" s="16"/>
    </row>
    <row r="160">
      <c r="O160" s="16"/>
    </row>
    <row r="161">
      <c r="O161" s="16"/>
    </row>
    <row r="162">
      <c r="O162" s="16"/>
    </row>
    <row r="163">
      <c r="O163" s="16"/>
    </row>
    <row r="164">
      <c r="O164" s="16"/>
    </row>
    <row r="165">
      <c r="O165" s="16"/>
    </row>
    <row r="166">
      <c r="O166" s="16"/>
    </row>
    <row r="167">
      <c r="O167" s="16"/>
    </row>
    <row r="168">
      <c r="O168" s="16"/>
    </row>
    <row r="169">
      <c r="O169" s="16"/>
    </row>
    <row r="170">
      <c r="O170" s="16"/>
    </row>
    <row r="171">
      <c r="O171" s="16"/>
    </row>
    <row r="172">
      <c r="O172" s="16"/>
    </row>
    <row r="173">
      <c r="O173" s="16"/>
    </row>
    <row r="174">
      <c r="O174" s="16"/>
    </row>
    <row r="175">
      <c r="O175" s="16"/>
    </row>
    <row r="176">
      <c r="O176" s="16"/>
    </row>
    <row r="177">
      <c r="O177" s="16"/>
    </row>
    <row r="178">
      <c r="O178" s="16"/>
    </row>
    <row r="179">
      <c r="O179" s="16"/>
    </row>
    <row r="180">
      <c r="O180" s="16"/>
    </row>
    <row r="181">
      <c r="O181" s="16"/>
    </row>
    <row r="182">
      <c r="O182" s="16"/>
    </row>
    <row r="183">
      <c r="O183" s="16"/>
    </row>
    <row r="184">
      <c r="O184" s="16"/>
    </row>
    <row r="185">
      <c r="O185" s="16"/>
    </row>
    <row r="186">
      <c r="O186" s="16"/>
    </row>
    <row r="187">
      <c r="O187" s="16"/>
    </row>
    <row r="188">
      <c r="O188" s="16"/>
    </row>
    <row r="189">
      <c r="O189" s="16"/>
    </row>
    <row r="190">
      <c r="O190" s="16"/>
    </row>
    <row r="191">
      <c r="O191" s="16"/>
    </row>
    <row r="192">
      <c r="O192" s="16"/>
    </row>
    <row r="193">
      <c r="O193" s="16"/>
    </row>
    <row r="194">
      <c r="O194" s="16"/>
    </row>
    <row r="195">
      <c r="O195" s="16"/>
    </row>
    <row r="196">
      <c r="O196" s="16"/>
    </row>
    <row r="197">
      <c r="O197" s="16"/>
    </row>
    <row r="198">
      <c r="O198" s="16"/>
    </row>
    <row r="199">
      <c r="O199" s="16"/>
    </row>
    <row r="200">
      <c r="O200" s="16"/>
    </row>
    <row r="201">
      <c r="O201" s="16"/>
    </row>
    <row r="202">
      <c r="O202" s="16"/>
    </row>
    <row r="203">
      <c r="O203" s="16"/>
    </row>
    <row r="204">
      <c r="O204" s="16"/>
    </row>
    <row r="205">
      <c r="O205" s="16"/>
    </row>
    <row r="206">
      <c r="O206" s="16"/>
    </row>
    <row r="207">
      <c r="O207" s="16"/>
    </row>
    <row r="208">
      <c r="O208" s="16"/>
    </row>
    <row r="209">
      <c r="O209" s="16"/>
    </row>
    <row r="210">
      <c r="O210" s="16"/>
    </row>
    <row r="211">
      <c r="O211" s="16"/>
    </row>
    <row r="212">
      <c r="O212" s="16"/>
    </row>
    <row r="213">
      <c r="O213" s="16"/>
    </row>
    <row r="214">
      <c r="O214" s="16"/>
    </row>
    <row r="215">
      <c r="O215" s="16"/>
    </row>
    <row r="216">
      <c r="O216" s="16"/>
    </row>
    <row r="217">
      <c r="O217" s="16"/>
    </row>
    <row r="218">
      <c r="O218" s="16"/>
    </row>
    <row r="219">
      <c r="O219" s="16"/>
    </row>
    <row r="220">
      <c r="O220" s="16"/>
    </row>
    <row r="221">
      <c r="O221" s="16"/>
    </row>
    <row r="222">
      <c r="O222" s="16"/>
    </row>
    <row r="223">
      <c r="O223" s="16"/>
    </row>
    <row r="224">
      <c r="O224" s="16"/>
    </row>
    <row r="225">
      <c r="O225" s="16"/>
    </row>
    <row r="226">
      <c r="O226" s="16"/>
    </row>
    <row r="227">
      <c r="O227" s="16"/>
    </row>
    <row r="228">
      <c r="O228" s="16"/>
    </row>
    <row r="229">
      <c r="O229" s="16"/>
    </row>
    <row r="230">
      <c r="O230" s="16"/>
    </row>
    <row r="231">
      <c r="O231" s="16"/>
    </row>
    <row r="232">
      <c r="O232" s="16"/>
    </row>
    <row r="233">
      <c r="O233" s="16"/>
    </row>
    <row r="234">
      <c r="O234" s="16"/>
    </row>
    <row r="235">
      <c r="O235" s="16"/>
    </row>
    <row r="236">
      <c r="O236" s="16"/>
    </row>
    <row r="237">
      <c r="O237" s="16"/>
    </row>
    <row r="238">
      <c r="O238" s="16"/>
    </row>
    <row r="239">
      <c r="O239" s="16"/>
    </row>
    <row r="240">
      <c r="O240" s="16"/>
    </row>
    <row r="241">
      <c r="O241" s="16"/>
    </row>
    <row r="242">
      <c r="O242" s="16"/>
    </row>
    <row r="243">
      <c r="O243" s="16"/>
    </row>
    <row r="244">
      <c r="O244" s="16"/>
    </row>
    <row r="245">
      <c r="O245" s="16"/>
    </row>
    <row r="246">
      <c r="O246" s="16"/>
    </row>
    <row r="247">
      <c r="O247" s="16"/>
    </row>
    <row r="248">
      <c r="O248" s="16"/>
    </row>
    <row r="249">
      <c r="O249" s="16"/>
    </row>
    <row r="250">
      <c r="O250" s="16"/>
    </row>
    <row r="251">
      <c r="O251" s="16"/>
    </row>
    <row r="252">
      <c r="O252" s="16"/>
    </row>
    <row r="253">
      <c r="O253" s="16"/>
    </row>
    <row r="254">
      <c r="O254" s="16"/>
    </row>
    <row r="255">
      <c r="O255" s="16"/>
    </row>
    <row r="256">
      <c r="O256" s="16"/>
    </row>
    <row r="257">
      <c r="O257" s="16"/>
    </row>
    <row r="258">
      <c r="O258" s="16"/>
    </row>
    <row r="259">
      <c r="O259" s="16"/>
    </row>
    <row r="260">
      <c r="O260" s="16"/>
    </row>
    <row r="261">
      <c r="O261" s="16"/>
    </row>
    <row r="262">
      <c r="O262" s="16"/>
    </row>
    <row r="263">
      <c r="O263" s="16"/>
    </row>
    <row r="264">
      <c r="O264" s="16"/>
    </row>
    <row r="265">
      <c r="O265" s="16"/>
    </row>
    <row r="266">
      <c r="O266" s="16"/>
    </row>
    <row r="267">
      <c r="O267" s="16"/>
    </row>
    <row r="268">
      <c r="O268" s="16"/>
    </row>
    <row r="269">
      <c r="O269" s="16"/>
    </row>
    <row r="270">
      <c r="O270" s="16"/>
    </row>
    <row r="271">
      <c r="O271" s="16"/>
    </row>
    <row r="272">
      <c r="O272" s="16"/>
    </row>
    <row r="273">
      <c r="O273" s="16"/>
    </row>
    <row r="274">
      <c r="O274" s="16"/>
    </row>
    <row r="275">
      <c r="O275" s="16"/>
    </row>
    <row r="276">
      <c r="O276" s="16"/>
    </row>
    <row r="277">
      <c r="O277" s="16"/>
    </row>
    <row r="278">
      <c r="O278" s="16"/>
    </row>
    <row r="279">
      <c r="O279" s="16"/>
    </row>
    <row r="280">
      <c r="O280" s="16"/>
    </row>
    <row r="281">
      <c r="O281" s="16"/>
    </row>
    <row r="282">
      <c r="O282" s="16"/>
    </row>
    <row r="283">
      <c r="O283" s="16"/>
    </row>
    <row r="284">
      <c r="O284" s="16"/>
    </row>
    <row r="285">
      <c r="O285" s="16"/>
    </row>
    <row r="286">
      <c r="O286" s="16"/>
    </row>
    <row r="287">
      <c r="O287" s="16"/>
    </row>
    <row r="288">
      <c r="O288" s="16"/>
    </row>
    <row r="289">
      <c r="O289" s="16"/>
    </row>
    <row r="290">
      <c r="O290" s="16"/>
    </row>
    <row r="291">
      <c r="O291" s="16"/>
    </row>
    <row r="292">
      <c r="O292" s="16"/>
    </row>
    <row r="293">
      <c r="O293" s="16"/>
    </row>
    <row r="294">
      <c r="O294" s="16"/>
    </row>
    <row r="295">
      <c r="O295" s="16"/>
    </row>
    <row r="296">
      <c r="O296" s="16"/>
    </row>
    <row r="297">
      <c r="O297" s="16"/>
    </row>
    <row r="298">
      <c r="O298" s="16"/>
    </row>
    <row r="299">
      <c r="O299" s="16"/>
    </row>
    <row r="300">
      <c r="O300" s="16"/>
    </row>
    <row r="301">
      <c r="O301" s="16"/>
    </row>
    <row r="302">
      <c r="O302" s="16"/>
    </row>
    <row r="303">
      <c r="O303" s="16"/>
    </row>
    <row r="304">
      <c r="O304" s="16"/>
    </row>
    <row r="305">
      <c r="O305" s="16"/>
    </row>
    <row r="306">
      <c r="O306" s="16"/>
    </row>
    <row r="307">
      <c r="O307" s="16"/>
    </row>
    <row r="308">
      <c r="O308" s="16"/>
    </row>
    <row r="309">
      <c r="O309" s="16"/>
    </row>
    <row r="310">
      <c r="O310" s="16"/>
    </row>
    <row r="311">
      <c r="O311" s="16"/>
    </row>
    <row r="312">
      <c r="O312" s="16"/>
    </row>
    <row r="313">
      <c r="O313" s="16"/>
    </row>
    <row r="314">
      <c r="O314" s="16"/>
    </row>
    <row r="315">
      <c r="O315" s="16"/>
    </row>
    <row r="316">
      <c r="O316" s="16"/>
    </row>
    <row r="317">
      <c r="O317" s="16"/>
    </row>
    <row r="318">
      <c r="O318" s="16"/>
    </row>
    <row r="319">
      <c r="O319" s="16"/>
    </row>
    <row r="320">
      <c r="O320" s="16"/>
    </row>
    <row r="321">
      <c r="O321" s="16"/>
    </row>
    <row r="322">
      <c r="O322" s="16"/>
    </row>
    <row r="323">
      <c r="O323" s="16"/>
    </row>
    <row r="324">
      <c r="O324" s="16"/>
    </row>
    <row r="325">
      <c r="O325" s="16"/>
    </row>
    <row r="326">
      <c r="O326" s="16"/>
    </row>
    <row r="327">
      <c r="O327" s="16"/>
    </row>
    <row r="328">
      <c r="O328" s="16"/>
    </row>
    <row r="329">
      <c r="O329" s="16"/>
    </row>
    <row r="330">
      <c r="O330" s="16"/>
    </row>
    <row r="331">
      <c r="O331" s="16"/>
    </row>
    <row r="332">
      <c r="O332" s="16"/>
    </row>
    <row r="333">
      <c r="O333" s="16"/>
    </row>
    <row r="334">
      <c r="O334" s="16"/>
    </row>
    <row r="335">
      <c r="O335" s="16"/>
    </row>
    <row r="336">
      <c r="O336" s="16"/>
    </row>
    <row r="337">
      <c r="O337" s="16"/>
    </row>
    <row r="338">
      <c r="O338" s="16"/>
    </row>
    <row r="339">
      <c r="O339" s="16"/>
    </row>
    <row r="340">
      <c r="O340" s="16"/>
    </row>
    <row r="341">
      <c r="O341" s="16"/>
    </row>
    <row r="342">
      <c r="O342" s="16"/>
    </row>
    <row r="343">
      <c r="O343" s="16"/>
    </row>
    <row r="344">
      <c r="O344" s="16"/>
    </row>
    <row r="345">
      <c r="O345" s="16"/>
    </row>
    <row r="346">
      <c r="O346" s="16"/>
    </row>
    <row r="347">
      <c r="O347" s="16"/>
    </row>
    <row r="348">
      <c r="O348" s="16"/>
    </row>
    <row r="349">
      <c r="O349" s="16"/>
    </row>
    <row r="350">
      <c r="O350" s="16"/>
    </row>
    <row r="351">
      <c r="O351" s="16"/>
    </row>
    <row r="352">
      <c r="O352" s="16"/>
    </row>
    <row r="353">
      <c r="O353" s="16"/>
    </row>
    <row r="354">
      <c r="O354" s="16"/>
    </row>
    <row r="355">
      <c r="O355" s="16"/>
    </row>
    <row r="356">
      <c r="O356" s="16"/>
    </row>
    <row r="357">
      <c r="O357" s="16"/>
    </row>
    <row r="358">
      <c r="O358" s="16"/>
    </row>
    <row r="359">
      <c r="O359" s="16"/>
    </row>
    <row r="360">
      <c r="O360" s="16"/>
    </row>
    <row r="361">
      <c r="O361" s="16"/>
    </row>
    <row r="362">
      <c r="O362" s="16"/>
    </row>
    <row r="363">
      <c r="O363" s="16"/>
    </row>
    <row r="364">
      <c r="O364" s="16"/>
    </row>
    <row r="365">
      <c r="O365" s="16"/>
    </row>
    <row r="366">
      <c r="O366" s="16"/>
    </row>
    <row r="367">
      <c r="O367" s="16"/>
    </row>
    <row r="368">
      <c r="O368" s="16"/>
    </row>
    <row r="369">
      <c r="O369" s="16"/>
    </row>
    <row r="370">
      <c r="O370" s="16"/>
    </row>
    <row r="371">
      <c r="O371" s="16"/>
    </row>
    <row r="372">
      <c r="O372" s="16"/>
    </row>
    <row r="373">
      <c r="O373" s="16"/>
    </row>
    <row r="374">
      <c r="O374" s="16"/>
    </row>
    <row r="375">
      <c r="O375" s="16"/>
    </row>
    <row r="376">
      <c r="O376" s="16"/>
    </row>
    <row r="377">
      <c r="O377" s="16"/>
    </row>
    <row r="378">
      <c r="O378" s="16"/>
    </row>
    <row r="379">
      <c r="O379" s="16"/>
    </row>
    <row r="380">
      <c r="O380" s="16"/>
    </row>
    <row r="381">
      <c r="O381" s="16"/>
    </row>
    <row r="382">
      <c r="O382" s="16"/>
    </row>
    <row r="383">
      <c r="O383" s="16"/>
    </row>
    <row r="384">
      <c r="O384" s="16"/>
    </row>
    <row r="385">
      <c r="O385" s="16"/>
    </row>
    <row r="386">
      <c r="O386" s="16"/>
    </row>
    <row r="387">
      <c r="O387" s="16"/>
    </row>
    <row r="388">
      <c r="O388" s="16"/>
    </row>
    <row r="389">
      <c r="O389" s="16"/>
    </row>
    <row r="390">
      <c r="O390" s="16"/>
    </row>
    <row r="391">
      <c r="O391" s="16"/>
    </row>
    <row r="392">
      <c r="O392" s="16"/>
    </row>
    <row r="393">
      <c r="O393" s="16"/>
    </row>
    <row r="394">
      <c r="O394" s="16"/>
    </row>
    <row r="395">
      <c r="O395" s="16"/>
    </row>
    <row r="396">
      <c r="O396" s="16"/>
    </row>
    <row r="397">
      <c r="O397" s="16"/>
    </row>
    <row r="398">
      <c r="O398" s="16"/>
    </row>
    <row r="399">
      <c r="O399" s="16"/>
    </row>
    <row r="400">
      <c r="O400" s="16"/>
    </row>
    <row r="401">
      <c r="O401" s="16"/>
    </row>
    <row r="402">
      <c r="O402" s="16"/>
    </row>
    <row r="403">
      <c r="O403" s="16"/>
    </row>
    <row r="404">
      <c r="O404" s="16"/>
    </row>
    <row r="405">
      <c r="O405" s="16"/>
    </row>
    <row r="406">
      <c r="O406" s="16"/>
    </row>
    <row r="407">
      <c r="O407" s="16"/>
    </row>
    <row r="408">
      <c r="O408" s="16"/>
    </row>
    <row r="409">
      <c r="O409" s="16"/>
    </row>
    <row r="410">
      <c r="O410" s="16"/>
    </row>
    <row r="411">
      <c r="O411" s="16"/>
    </row>
    <row r="412">
      <c r="O412" s="16"/>
    </row>
    <row r="413">
      <c r="O413" s="16"/>
    </row>
    <row r="414">
      <c r="O414" s="16"/>
    </row>
    <row r="415">
      <c r="O415" s="16"/>
    </row>
    <row r="416">
      <c r="O416" s="16"/>
    </row>
    <row r="417">
      <c r="O417" s="16"/>
    </row>
    <row r="418">
      <c r="O418" s="16"/>
    </row>
    <row r="419">
      <c r="O419" s="16"/>
    </row>
    <row r="420">
      <c r="O420" s="16"/>
    </row>
    <row r="421">
      <c r="O421" s="16"/>
    </row>
    <row r="422">
      <c r="O422" s="16"/>
    </row>
    <row r="423">
      <c r="O423" s="16"/>
    </row>
    <row r="424">
      <c r="O424" s="16"/>
    </row>
    <row r="425">
      <c r="O425" s="16"/>
    </row>
    <row r="426">
      <c r="O426" s="16"/>
    </row>
    <row r="427">
      <c r="O427" s="16"/>
    </row>
    <row r="428">
      <c r="O428" s="16"/>
    </row>
    <row r="429">
      <c r="O429" s="16"/>
    </row>
    <row r="430">
      <c r="O430" s="16"/>
    </row>
    <row r="431">
      <c r="O431" s="16"/>
    </row>
    <row r="432">
      <c r="O432" s="16"/>
    </row>
    <row r="433">
      <c r="O433" s="16"/>
    </row>
    <row r="434">
      <c r="O434" s="16"/>
    </row>
    <row r="435">
      <c r="O435" s="16"/>
    </row>
    <row r="436">
      <c r="O436" s="16"/>
    </row>
    <row r="437">
      <c r="O437" s="16"/>
    </row>
    <row r="438">
      <c r="O438" s="16"/>
    </row>
    <row r="439">
      <c r="O439" s="16"/>
    </row>
    <row r="440">
      <c r="O440" s="16"/>
    </row>
    <row r="441">
      <c r="O441" s="16"/>
    </row>
    <row r="442">
      <c r="O442" s="16"/>
    </row>
    <row r="443">
      <c r="O443" s="16"/>
    </row>
    <row r="444">
      <c r="O444" s="16"/>
    </row>
    <row r="445">
      <c r="O445" s="16"/>
    </row>
    <row r="446">
      <c r="O446" s="16"/>
    </row>
    <row r="447">
      <c r="O447" s="16"/>
    </row>
    <row r="448">
      <c r="O448" s="16"/>
    </row>
    <row r="449">
      <c r="O449" s="16"/>
    </row>
    <row r="450">
      <c r="O450" s="16"/>
    </row>
    <row r="451">
      <c r="O451" s="16"/>
    </row>
    <row r="452">
      <c r="O452" s="16"/>
    </row>
    <row r="453">
      <c r="O453" s="16"/>
    </row>
    <row r="454">
      <c r="O454" s="16"/>
    </row>
    <row r="455">
      <c r="O455" s="16"/>
    </row>
    <row r="456">
      <c r="O456" s="16"/>
    </row>
    <row r="457">
      <c r="O457" s="16"/>
    </row>
    <row r="458">
      <c r="O458" s="16"/>
    </row>
    <row r="459">
      <c r="O459" s="16"/>
    </row>
    <row r="460">
      <c r="O460" s="16"/>
    </row>
    <row r="461">
      <c r="O461" s="16"/>
    </row>
    <row r="462">
      <c r="O462" s="16"/>
    </row>
    <row r="463">
      <c r="O463" s="16"/>
    </row>
    <row r="464">
      <c r="O464" s="16"/>
    </row>
    <row r="465">
      <c r="O465" s="16"/>
    </row>
    <row r="466">
      <c r="O466" s="16"/>
    </row>
    <row r="467">
      <c r="O467" s="16"/>
    </row>
    <row r="468">
      <c r="O468" s="16"/>
    </row>
    <row r="469">
      <c r="O469" s="16"/>
    </row>
    <row r="470">
      <c r="O470" s="16"/>
    </row>
    <row r="471">
      <c r="O471" s="16"/>
    </row>
    <row r="472">
      <c r="O472" s="16"/>
    </row>
    <row r="473">
      <c r="O473" s="16"/>
    </row>
    <row r="474">
      <c r="O474" s="16"/>
    </row>
    <row r="475">
      <c r="O475" s="16"/>
    </row>
    <row r="476">
      <c r="O476" s="16"/>
    </row>
    <row r="477">
      <c r="O477" s="16"/>
    </row>
    <row r="478">
      <c r="O478" s="16"/>
    </row>
    <row r="479">
      <c r="O479" s="16"/>
    </row>
    <row r="480">
      <c r="O480" s="16"/>
    </row>
    <row r="481">
      <c r="O481" s="16"/>
    </row>
    <row r="482">
      <c r="O482" s="16"/>
    </row>
    <row r="483">
      <c r="O483" s="16"/>
    </row>
    <row r="484">
      <c r="O484" s="16"/>
    </row>
    <row r="485">
      <c r="O485" s="16"/>
    </row>
    <row r="486">
      <c r="O486" s="16"/>
    </row>
    <row r="487">
      <c r="O487" s="16"/>
    </row>
    <row r="488">
      <c r="O488" s="16"/>
    </row>
    <row r="489">
      <c r="O489" s="16"/>
    </row>
    <row r="490">
      <c r="O490" s="16"/>
    </row>
    <row r="491">
      <c r="O491" s="16"/>
    </row>
    <row r="492">
      <c r="O492" s="16"/>
    </row>
    <row r="493">
      <c r="O493" s="16"/>
    </row>
    <row r="494">
      <c r="O494" s="16"/>
    </row>
    <row r="495">
      <c r="O495" s="16"/>
    </row>
    <row r="496">
      <c r="O496" s="16"/>
    </row>
    <row r="497">
      <c r="O497" s="16"/>
    </row>
    <row r="498">
      <c r="O498" s="16"/>
    </row>
    <row r="499">
      <c r="O499" s="16"/>
    </row>
    <row r="500">
      <c r="O500" s="16"/>
    </row>
    <row r="501">
      <c r="O501" s="16"/>
    </row>
    <row r="502">
      <c r="O502" s="16"/>
    </row>
    <row r="503">
      <c r="O503" s="16"/>
    </row>
    <row r="504">
      <c r="O504" s="16"/>
    </row>
    <row r="505">
      <c r="O505" s="16"/>
    </row>
    <row r="506">
      <c r="O506" s="16"/>
    </row>
    <row r="507">
      <c r="O507" s="16"/>
    </row>
    <row r="508">
      <c r="O508" s="16"/>
    </row>
    <row r="509">
      <c r="O509" s="16"/>
    </row>
    <row r="510">
      <c r="O510" s="16"/>
    </row>
    <row r="511">
      <c r="O511" s="16"/>
    </row>
    <row r="512">
      <c r="O512" s="16"/>
    </row>
    <row r="513">
      <c r="O513" s="16"/>
    </row>
    <row r="514">
      <c r="O514" s="16"/>
    </row>
    <row r="515">
      <c r="O515" s="16"/>
    </row>
    <row r="516">
      <c r="O516" s="16"/>
    </row>
    <row r="517">
      <c r="O517" s="16"/>
    </row>
    <row r="518">
      <c r="O518" s="16"/>
    </row>
    <row r="519">
      <c r="O519" s="16"/>
    </row>
    <row r="520">
      <c r="O520" s="16"/>
    </row>
    <row r="521">
      <c r="O521" s="16"/>
    </row>
    <row r="522">
      <c r="O522" s="16"/>
    </row>
    <row r="523">
      <c r="O523" s="16"/>
    </row>
    <row r="524">
      <c r="O524" s="16"/>
    </row>
    <row r="525">
      <c r="O525" s="16"/>
    </row>
    <row r="526">
      <c r="O526" s="16"/>
    </row>
    <row r="527">
      <c r="O527" s="16"/>
    </row>
    <row r="528">
      <c r="O528" s="16"/>
    </row>
    <row r="529">
      <c r="O529" s="16"/>
    </row>
    <row r="530">
      <c r="O530" s="16"/>
    </row>
    <row r="531">
      <c r="O531" s="16"/>
    </row>
    <row r="532">
      <c r="O532" s="16"/>
    </row>
    <row r="533">
      <c r="O533" s="16"/>
    </row>
    <row r="534">
      <c r="O534" s="16"/>
    </row>
    <row r="535">
      <c r="O535" s="16"/>
    </row>
    <row r="536">
      <c r="O536" s="16"/>
    </row>
    <row r="537">
      <c r="O537" s="16"/>
    </row>
    <row r="538">
      <c r="O538" s="16"/>
    </row>
    <row r="539">
      <c r="O539" s="16"/>
    </row>
    <row r="540">
      <c r="O540" s="16"/>
    </row>
    <row r="541">
      <c r="O541" s="16"/>
    </row>
    <row r="542">
      <c r="O542" s="16"/>
    </row>
    <row r="543">
      <c r="O543" s="16"/>
    </row>
    <row r="544">
      <c r="O544" s="16"/>
    </row>
    <row r="545">
      <c r="O545" s="16"/>
    </row>
    <row r="546">
      <c r="O546" s="16"/>
    </row>
    <row r="547">
      <c r="O547" s="16"/>
    </row>
    <row r="548">
      <c r="O548" s="16"/>
    </row>
    <row r="549">
      <c r="O549" s="16"/>
    </row>
    <row r="550">
      <c r="O550" s="16"/>
    </row>
    <row r="551">
      <c r="O551" s="16"/>
    </row>
    <row r="552">
      <c r="O552" s="16"/>
    </row>
    <row r="553">
      <c r="O553" s="16"/>
    </row>
    <row r="554">
      <c r="O554" s="16"/>
    </row>
    <row r="555">
      <c r="O555" s="16"/>
    </row>
    <row r="556">
      <c r="O556" s="16"/>
    </row>
    <row r="557">
      <c r="O557" s="16"/>
    </row>
    <row r="558">
      <c r="O558" s="16"/>
    </row>
    <row r="559">
      <c r="O559" s="16"/>
    </row>
    <row r="560">
      <c r="O560" s="16"/>
    </row>
    <row r="561">
      <c r="O561" s="16"/>
    </row>
    <row r="562">
      <c r="O562" s="16"/>
    </row>
    <row r="563">
      <c r="O563" s="16"/>
    </row>
    <row r="564">
      <c r="O564" s="16"/>
    </row>
    <row r="565">
      <c r="O565" s="16"/>
    </row>
    <row r="566">
      <c r="O566" s="16"/>
    </row>
    <row r="567">
      <c r="O567" s="16"/>
    </row>
    <row r="568">
      <c r="O568" s="16"/>
    </row>
    <row r="569">
      <c r="O569" s="16"/>
    </row>
    <row r="570">
      <c r="O570" s="16"/>
    </row>
    <row r="571">
      <c r="O571" s="16"/>
    </row>
    <row r="572">
      <c r="O572" s="16"/>
    </row>
    <row r="573">
      <c r="O573" s="16"/>
    </row>
    <row r="574">
      <c r="O574" s="16"/>
    </row>
    <row r="575">
      <c r="O575" s="16"/>
    </row>
    <row r="576">
      <c r="O576" s="16"/>
    </row>
    <row r="577">
      <c r="O577" s="16"/>
    </row>
    <row r="578">
      <c r="O578" s="16"/>
    </row>
    <row r="579">
      <c r="O579" s="16"/>
    </row>
    <row r="580">
      <c r="O580" s="16"/>
    </row>
    <row r="581">
      <c r="O581" s="16"/>
    </row>
    <row r="582">
      <c r="O582" s="16"/>
    </row>
    <row r="583">
      <c r="O583" s="16"/>
    </row>
    <row r="584">
      <c r="O584" s="16"/>
    </row>
    <row r="585">
      <c r="O585" s="16"/>
    </row>
    <row r="586">
      <c r="O586" s="16"/>
    </row>
    <row r="587">
      <c r="O587" s="16"/>
    </row>
    <row r="588">
      <c r="O588" s="16"/>
    </row>
    <row r="589">
      <c r="O589" s="16"/>
    </row>
    <row r="590">
      <c r="O590" s="16"/>
    </row>
    <row r="591">
      <c r="O591" s="16"/>
    </row>
    <row r="592">
      <c r="O592" s="16"/>
    </row>
    <row r="593">
      <c r="O593" s="16"/>
    </row>
    <row r="594">
      <c r="O594" s="16"/>
    </row>
    <row r="595">
      <c r="O595" s="16"/>
    </row>
    <row r="596">
      <c r="O596" s="16"/>
    </row>
    <row r="597">
      <c r="O597" s="16"/>
    </row>
    <row r="598">
      <c r="O598" s="16"/>
    </row>
    <row r="599">
      <c r="O599" s="16"/>
    </row>
    <row r="600">
      <c r="O600" s="16"/>
    </row>
    <row r="601">
      <c r="O601" s="16"/>
    </row>
    <row r="602">
      <c r="O602" s="16"/>
    </row>
    <row r="603">
      <c r="O603" s="16"/>
    </row>
    <row r="604">
      <c r="O604" s="16"/>
    </row>
    <row r="605">
      <c r="O605" s="16"/>
    </row>
    <row r="606">
      <c r="O606" s="16"/>
    </row>
    <row r="607">
      <c r="O607" s="16"/>
    </row>
    <row r="608">
      <c r="O608" s="16"/>
    </row>
    <row r="609">
      <c r="O609" s="16"/>
    </row>
    <row r="610">
      <c r="O610" s="16"/>
    </row>
    <row r="611">
      <c r="O611" s="16"/>
    </row>
    <row r="612">
      <c r="O612" s="16"/>
    </row>
    <row r="613">
      <c r="O613" s="16"/>
    </row>
    <row r="614">
      <c r="O614" s="16"/>
    </row>
    <row r="615">
      <c r="O615" s="16"/>
    </row>
    <row r="616">
      <c r="O616" s="16"/>
    </row>
    <row r="617">
      <c r="O617" s="16"/>
    </row>
    <row r="618">
      <c r="O618" s="16"/>
    </row>
    <row r="619">
      <c r="O619" s="16"/>
    </row>
    <row r="620">
      <c r="O620" s="16"/>
    </row>
    <row r="621">
      <c r="O621" s="16"/>
    </row>
    <row r="622">
      <c r="O622" s="16"/>
    </row>
    <row r="623">
      <c r="O623" s="16"/>
    </row>
    <row r="624">
      <c r="O624" s="16"/>
    </row>
    <row r="625">
      <c r="O625" s="16"/>
    </row>
    <row r="626">
      <c r="O626" s="16"/>
    </row>
    <row r="627">
      <c r="O627" s="16"/>
    </row>
    <row r="628">
      <c r="O628" s="16"/>
    </row>
    <row r="629">
      <c r="O629" s="16"/>
    </row>
    <row r="630">
      <c r="O630" s="16"/>
    </row>
    <row r="631">
      <c r="O631" s="16"/>
    </row>
    <row r="632">
      <c r="O632" s="16"/>
    </row>
    <row r="633">
      <c r="O633" s="16"/>
    </row>
    <row r="634">
      <c r="O634" s="16"/>
    </row>
    <row r="635">
      <c r="O635" s="16"/>
    </row>
    <row r="636">
      <c r="O636" s="16"/>
    </row>
    <row r="637">
      <c r="O637" s="16"/>
    </row>
    <row r="638">
      <c r="O638" s="16"/>
    </row>
    <row r="639">
      <c r="O639" s="16"/>
    </row>
    <row r="640">
      <c r="O640" s="16"/>
    </row>
    <row r="641">
      <c r="O641" s="16"/>
    </row>
    <row r="642">
      <c r="O642" s="16"/>
    </row>
    <row r="643">
      <c r="O643" s="16"/>
    </row>
    <row r="644">
      <c r="O644" s="16"/>
    </row>
    <row r="645">
      <c r="O645" s="16"/>
    </row>
    <row r="646">
      <c r="O646" s="16"/>
    </row>
    <row r="647">
      <c r="O647" s="16"/>
    </row>
    <row r="648">
      <c r="O648" s="16"/>
    </row>
    <row r="649">
      <c r="O649" s="16"/>
    </row>
    <row r="650">
      <c r="O650" s="16"/>
    </row>
    <row r="651">
      <c r="O651" s="16"/>
    </row>
    <row r="652">
      <c r="O652" s="16"/>
    </row>
    <row r="653">
      <c r="O653" s="16"/>
    </row>
    <row r="654">
      <c r="O654" s="16"/>
    </row>
    <row r="655">
      <c r="O655" s="16"/>
    </row>
    <row r="656">
      <c r="O656" s="16"/>
    </row>
    <row r="657">
      <c r="O657" s="16"/>
    </row>
    <row r="658">
      <c r="O658" s="16"/>
    </row>
    <row r="659">
      <c r="O659" s="16"/>
    </row>
    <row r="660">
      <c r="O660" s="16"/>
    </row>
    <row r="661">
      <c r="O661" s="16"/>
    </row>
    <row r="662">
      <c r="O662" s="16"/>
    </row>
    <row r="663">
      <c r="O663" s="16"/>
    </row>
    <row r="664">
      <c r="O664" s="16"/>
    </row>
    <row r="665">
      <c r="O665" s="16"/>
    </row>
    <row r="666">
      <c r="O666" s="16"/>
    </row>
    <row r="667">
      <c r="O667" s="16"/>
    </row>
    <row r="668">
      <c r="O668" s="16"/>
    </row>
    <row r="669">
      <c r="O669" s="16"/>
    </row>
    <row r="670">
      <c r="O670" s="16"/>
    </row>
    <row r="671">
      <c r="O671" s="16"/>
    </row>
    <row r="672">
      <c r="O672" s="16"/>
    </row>
    <row r="673">
      <c r="O673" s="16"/>
    </row>
    <row r="674">
      <c r="O674" s="16"/>
    </row>
    <row r="675">
      <c r="O675" s="16"/>
    </row>
    <row r="676">
      <c r="O676" s="16"/>
    </row>
    <row r="677">
      <c r="O677" s="16"/>
    </row>
    <row r="678">
      <c r="O678" s="16"/>
    </row>
    <row r="679">
      <c r="O679" s="16"/>
    </row>
    <row r="680">
      <c r="O680" s="16"/>
    </row>
    <row r="681">
      <c r="O681" s="16"/>
    </row>
    <row r="682">
      <c r="O682" s="16"/>
    </row>
    <row r="683">
      <c r="O683" s="16"/>
    </row>
    <row r="684">
      <c r="O684" s="16"/>
    </row>
    <row r="685">
      <c r="O685" s="16"/>
    </row>
    <row r="686">
      <c r="O686" s="16"/>
    </row>
    <row r="687">
      <c r="O687" s="16"/>
    </row>
    <row r="688">
      <c r="O688" s="16"/>
    </row>
    <row r="689">
      <c r="O689" s="16"/>
    </row>
    <row r="690">
      <c r="O690" s="16"/>
    </row>
    <row r="691">
      <c r="O691" s="16"/>
    </row>
    <row r="692">
      <c r="O692" s="16"/>
    </row>
    <row r="693">
      <c r="O693" s="16"/>
    </row>
    <row r="694">
      <c r="O694" s="16"/>
    </row>
    <row r="695">
      <c r="O695" s="16"/>
    </row>
    <row r="696">
      <c r="O696" s="16"/>
    </row>
    <row r="697">
      <c r="O697" s="16"/>
    </row>
    <row r="698">
      <c r="O698" s="16"/>
    </row>
    <row r="699">
      <c r="O699" s="16"/>
    </row>
    <row r="700">
      <c r="O700" s="16"/>
    </row>
    <row r="701">
      <c r="O701" s="16"/>
    </row>
    <row r="702">
      <c r="O702" s="16"/>
    </row>
    <row r="703">
      <c r="O703" s="16"/>
    </row>
    <row r="704">
      <c r="O704" s="16"/>
    </row>
    <row r="705">
      <c r="O705" s="16"/>
    </row>
    <row r="706">
      <c r="O706" s="16"/>
    </row>
    <row r="707">
      <c r="O707" s="16"/>
    </row>
    <row r="708">
      <c r="O708" s="16"/>
    </row>
    <row r="709">
      <c r="O709" s="16"/>
    </row>
    <row r="710">
      <c r="O710" s="16"/>
    </row>
    <row r="711">
      <c r="O711" s="16"/>
    </row>
    <row r="712">
      <c r="O712" s="16"/>
    </row>
    <row r="713">
      <c r="O713" s="16"/>
    </row>
    <row r="714">
      <c r="O714" s="16"/>
    </row>
    <row r="715">
      <c r="O715" s="16"/>
    </row>
    <row r="716">
      <c r="O716" s="16"/>
    </row>
    <row r="717">
      <c r="O717" s="16"/>
    </row>
    <row r="718">
      <c r="O718" s="16"/>
    </row>
    <row r="719">
      <c r="O719" s="16"/>
    </row>
    <row r="720">
      <c r="O720" s="16"/>
    </row>
    <row r="721">
      <c r="O721" s="16"/>
    </row>
    <row r="722">
      <c r="O722" s="16"/>
    </row>
    <row r="723">
      <c r="O723" s="16"/>
    </row>
    <row r="724">
      <c r="O724" s="16"/>
    </row>
    <row r="725">
      <c r="O725" s="16"/>
    </row>
    <row r="726">
      <c r="O726" s="16"/>
    </row>
    <row r="727">
      <c r="O727" s="16"/>
    </row>
    <row r="728">
      <c r="O728" s="16"/>
    </row>
    <row r="729">
      <c r="O729" s="16"/>
    </row>
    <row r="730">
      <c r="O730" s="16"/>
    </row>
    <row r="731">
      <c r="O731" s="16"/>
    </row>
    <row r="732">
      <c r="O732" s="16"/>
    </row>
    <row r="733">
      <c r="O733" s="16"/>
    </row>
    <row r="734">
      <c r="O734" s="16"/>
    </row>
    <row r="735">
      <c r="O735" s="16"/>
    </row>
    <row r="736">
      <c r="O736" s="16"/>
    </row>
    <row r="737">
      <c r="O737" s="16"/>
    </row>
    <row r="738">
      <c r="O738" s="16"/>
    </row>
    <row r="739">
      <c r="O739" s="16"/>
    </row>
    <row r="740">
      <c r="O740" s="16"/>
    </row>
    <row r="741">
      <c r="O741" s="16"/>
    </row>
    <row r="742">
      <c r="O742" s="16"/>
    </row>
    <row r="743">
      <c r="O743" s="16"/>
    </row>
    <row r="744">
      <c r="O744" s="16"/>
    </row>
    <row r="745">
      <c r="O745" s="16"/>
    </row>
    <row r="746">
      <c r="O746" s="16"/>
    </row>
    <row r="747">
      <c r="O747" s="16"/>
    </row>
    <row r="748">
      <c r="O748" s="16"/>
    </row>
    <row r="749">
      <c r="O749" s="16"/>
    </row>
    <row r="750">
      <c r="O750" s="16"/>
    </row>
    <row r="751">
      <c r="O751" s="16"/>
    </row>
    <row r="752">
      <c r="O752" s="16"/>
    </row>
    <row r="753">
      <c r="O753" s="16"/>
    </row>
    <row r="754">
      <c r="O754" s="16"/>
    </row>
    <row r="755">
      <c r="O755" s="16"/>
    </row>
    <row r="756">
      <c r="O756" s="16"/>
    </row>
    <row r="757">
      <c r="O757" s="16"/>
    </row>
    <row r="758">
      <c r="O758" s="16"/>
    </row>
    <row r="759">
      <c r="O759" s="16"/>
    </row>
    <row r="760">
      <c r="O760" s="16"/>
    </row>
    <row r="761">
      <c r="O761" s="16"/>
    </row>
    <row r="762">
      <c r="O762" s="16"/>
    </row>
    <row r="763">
      <c r="O763" s="16"/>
    </row>
    <row r="764">
      <c r="O764" s="16"/>
    </row>
    <row r="765">
      <c r="O765" s="16"/>
    </row>
    <row r="766">
      <c r="O766" s="16"/>
    </row>
    <row r="767">
      <c r="O767" s="16"/>
    </row>
    <row r="768">
      <c r="O768" s="16"/>
    </row>
    <row r="769">
      <c r="O769" s="16"/>
    </row>
    <row r="770">
      <c r="O770" s="16"/>
    </row>
    <row r="771">
      <c r="O771" s="16"/>
    </row>
    <row r="772">
      <c r="O772" s="16"/>
    </row>
    <row r="773">
      <c r="O773" s="16"/>
    </row>
    <row r="774">
      <c r="O774" s="16"/>
    </row>
    <row r="775">
      <c r="O775" s="16"/>
    </row>
    <row r="776">
      <c r="O776" s="16"/>
    </row>
    <row r="777">
      <c r="O777" s="16"/>
    </row>
    <row r="778">
      <c r="O778" s="16"/>
    </row>
    <row r="779">
      <c r="O779" s="16"/>
    </row>
    <row r="780">
      <c r="O780" s="16"/>
    </row>
    <row r="781">
      <c r="O781" s="16"/>
    </row>
    <row r="782">
      <c r="O782" s="16"/>
    </row>
    <row r="783">
      <c r="O783" s="16"/>
    </row>
    <row r="784">
      <c r="O784" s="16"/>
    </row>
    <row r="785">
      <c r="O785" s="16"/>
    </row>
    <row r="786">
      <c r="O786" s="16"/>
    </row>
    <row r="787">
      <c r="O787" s="16"/>
    </row>
    <row r="788">
      <c r="O788" s="16"/>
    </row>
    <row r="789">
      <c r="O789" s="16"/>
    </row>
    <row r="790">
      <c r="O790" s="16"/>
    </row>
    <row r="791">
      <c r="O791" s="16"/>
    </row>
    <row r="792">
      <c r="O792" s="16"/>
    </row>
    <row r="793">
      <c r="O793" s="16"/>
    </row>
    <row r="794">
      <c r="O794" s="16"/>
    </row>
    <row r="795">
      <c r="O795" s="16"/>
    </row>
    <row r="796">
      <c r="O796" s="16"/>
    </row>
    <row r="797">
      <c r="O797" s="16"/>
    </row>
    <row r="798">
      <c r="O798" s="16"/>
    </row>
    <row r="799">
      <c r="O799" s="16"/>
    </row>
    <row r="800">
      <c r="O800" s="16"/>
    </row>
    <row r="801">
      <c r="O801" s="16"/>
    </row>
    <row r="802">
      <c r="O802" s="16"/>
    </row>
    <row r="803">
      <c r="O803" s="16"/>
    </row>
    <row r="804">
      <c r="O804" s="16"/>
    </row>
    <row r="805">
      <c r="O805" s="16"/>
    </row>
    <row r="806">
      <c r="O806" s="16"/>
    </row>
    <row r="807">
      <c r="O807" s="16"/>
    </row>
    <row r="808">
      <c r="O808" s="16"/>
    </row>
    <row r="809">
      <c r="O809" s="16"/>
    </row>
    <row r="810">
      <c r="O810" s="16"/>
    </row>
    <row r="811">
      <c r="O811" s="16"/>
    </row>
    <row r="812">
      <c r="O812" s="16"/>
    </row>
    <row r="813">
      <c r="O813" s="16"/>
    </row>
    <row r="814">
      <c r="O814" s="16"/>
    </row>
    <row r="815">
      <c r="O815" s="16"/>
    </row>
    <row r="816">
      <c r="O816" s="16"/>
    </row>
    <row r="817">
      <c r="O817" s="16"/>
    </row>
    <row r="818">
      <c r="O818" s="16"/>
    </row>
    <row r="819">
      <c r="O819" s="16"/>
    </row>
    <row r="820">
      <c r="O820" s="16"/>
    </row>
    <row r="821">
      <c r="O821" s="16"/>
    </row>
    <row r="822">
      <c r="O822" s="16"/>
    </row>
    <row r="823">
      <c r="O823" s="16"/>
    </row>
    <row r="824">
      <c r="O824" s="16"/>
    </row>
    <row r="825">
      <c r="O825" s="16"/>
    </row>
    <row r="826">
      <c r="O826" s="16"/>
    </row>
    <row r="827">
      <c r="O827" s="16"/>
    </row>
    <row r="828">
      <c r="O828" s="16"/>
    </row>
    <row r="829">
      <c r="O829" s="16"/>
    </row>
    <row r="830">
      <c r="O830" s="16"/>
    </row>
    <row r="831">
      <c r="O831" s="16"/>
    </row>
    <row r="832">
      <c r="O832" s="16"/>
    </row>
    <row r="833">
      <c r="O833" s="16"/>
    </row>
    <row r="834">
      <c r="O834" s="16"/>
    </row>
    <row r="835">
      <c r="O835" s="16"/>
    </row>
    <row r="836">
      <c r="O836" s="16"/>
    </row>
    <row r="837">
      <c r="O837" s="16"/>
    </row>
    <row r="838">
      <c r="O838" s="16"/>
    </row>
    <row r="839">
      <c r="O839" s="16"/>
    </row>
    <row r="840">
      <c r="O840" s="16"/>
    </row>
    <row r="841">
      <c r="O841" s="16"/>
    </row>
    <row r="842">
      <c r="O842" s="16"/>
    </row>
    <row r="843">
      <c r="O843" s="16"/>
    </row>
    <row r="844">
      <c r="O844" s="16"/>
    </row>
    <row r="845">
      <c r="O845" s="16"/>
    </row>
    <row r="846">
      <c r="O846" s="16"/>
    </row>
    <row r="847">
      <c r="O847" s="16"/>
    </row>
    <row r="848">
      <c r="O848" s="16"/>
    </row>
    <row r="849">
      <c r="O849" s="16"/>
    </row>
    <row r="850">
      <c r="O850" s="16"/>
    </row>
    <row r="851">
      <c r="O851" s="16"/>
    </row>
    <row r="852">
      <c r="O852" s="16"/>
    </row>
    <row r="853">
      <c r="O853" s="16"/>
    </row>
    <row r="854">
      <c r="O854" s="16"/>
    </row>
    <row r="855">
      <c r="O855" s="16"/>
    </row>
    <row r="856">
      <c r="O856" s="16"/>
    </row>
    <row r="857">
      <c r="O857" s="16"/>
    </row>
    <row r="858">
      <c r="O858" s="16"/>
    </row>
    <row r="859">
      <c r="O859" s="16"/>
    </row>
    <row r="860">
      <c r="O860" s="16"/>
    </row>
    <row r="861">
      <c r="O861" s="16"/>
    </row>
    <row r="862">
      <c r="O862" s="16"/>
    </row>
    <row r="863">
      <c r="O863" s="16"/>
    </row>
    <row r="864">
      <c r="O864" s="16"/>
    </row>
    <row r="865">
      <c r="O865" s="16"/>
    </row>
    <row r="866">
      <c r="O866" s="16"/>
    </row>
    <row r="867">
      <c r="O867" s="16"/>
    </row>
    <row r="868">
      <c r="O868" s="16"/>
    </row>
    <row r="869">
      <c r="O869" s="16"/>
    </row>
    <row r="870">
      <c r="O870" s="16"/>
    </row>
    <row r="871">
      <c r="O871" s="16"/>
    </row>
    <row r="872">
      <c r="O872" s="16"/>
    </row>
    <row r="873">
      <c r="O873" s="16"/>
    </row>
    <row r="874">
      <c r="O874" s="16"/>
    </row>
    <row r="875">
      <c r="O875" s="16"/>
    </row>
    <row r="876">
      <c r="O876" s="16"/>
    </row>
    <row r="877">
      <c r="O877" s="16"/>
    </row>
    <row r="878">
      <c r="O878" s="16"/>
    </row>
    <row r="879">
      <c r="O879" s="16"/>
    </row>
    <row r="880">
      <c r="O880" s="16"/>
    </row>
    <row r="881">
      <c r="O881" s="16"/>
    </row>
    <row r="882">
      <c r="O882" s="16"/>
    </row>
    <row r="883">
      <c r="O883" s="16"/>
    </row>
    <row r="884">
      <c r="O884" s="16"/>
    </row>
    <row r="885">
      <c r="O885" s="16"/>
    </row>
    <row r="886">
      <c r="O886" s="16"/>
    </row>
    <row r="887">
      <c r="O887" s="16"/>
    </row>
    <row r="888">
      <c r="O888" s="16"/>
    </row>
    <row r="889">
      <c r="O889" s="16"/>
    </row>
    <row r="890">
      <c r="O890" s="16"/>
    </row>
    <row r="891">
      <c r="O891" s="16"/>
    </row>
    <row r="892">
      <c r="O892" s="16"/>
    </row>
    <row r="893">
      <c r="O893" s="16"/>
    </row>
    <row r="894">
      <c r="O894" s="16"/>
    </row>
    <row r="895">
      <c r="O895" s="16"/>
    </row>
    <row r="896">
      <c r="O896" s="16"/>
    </row>
    <row r="897">
      <c r="O897" s="16"/>
    </row>
    <row r="898">
      <c r="O898" s="16"/>
    </row>
    <row r="899">
      <c r="O899" s="16"/>
    </row>
    <row r="900">
      <c r="O900" s="16"/>
    </row>
    <row r="901">
      <c r="O901" s="16"/>
    </row>
    <row r="902">
      <c r="O902" s="16"/>
    </row>
    <row r="903">
      <c r="O903" s="16"/>
    </row>
    <row r="904">
      <c r="O904" s="16"/>
    </row>
    <row r="905">
      <c r="O905" s="16"/>
    </row>
    <row r="906">
      <c r="O906" s="16"/>
    </row>
    <row r="907">
      <c r="O907" s="16"/>
    </row>
    <row r="908">
      <c r="O908" s="16"/>
    </row>
    <row r="909">
      <c r="O909" s="16"/>
    </row>
    <row r="910">
      <c r="O910" s="16"/>
    </row>
    <row r="911">
      <c r="O911" s="16"/>
    </row>
    <row r="912">
      <c r="O912" s="16"/>
    </row>
    <row r="913">
      <c r="O913" s="16"/>
    </row>
    <row r="914">
      <c r="O914" s="16"/>
    </row>
    <row r="915">
      <c r="O915" s="16"/>
    </row>
    <row r="916">
      <c r="O916" s="16"/>
    </row>
    <row r="917">
      <c r="O917" s="16"/>
    </row>
    <row r="918">
      <c r="O918" s="16"/>
    </row>
    <row r="919">
      <c r="O919" s="16"/>
    </row>
    <row r="920">
      <c r="O920" s="16"/>
    </row>
    <row r="921">
      <c r="O921" s="16"/>
    </row>
    <row r="922">
      <c r="O922" s="16"/>
    </row>
    <row r="923">
      <c r="O923" s="16"/>
    </row>
    <row r="924">
      <c r="O924" s="16"/>
    </row>
    <row r="925">
      <c r="O925" s="16"/>
    </row>
    <row r="926">
      <c r="O926" s="16"/>
    </row>
    <row r="927">
      <c r="O927" s="16"/>
    </row>
    <row r="928">
      <c r="O928" s="16"/>
    </row>
    <row r="929">
      <c r="O929" s="16"/>
    </row>
    <row r="930">
      <c r="O930" s="16"/>
    </row>
    <row r="931">
      <c r="O931" s="16"/>
    </row>
    <row r="932">
      <c r="O932" s="16"/>
    </row>
    <row r="933">
      <c r="O933" s="16"/>
    </row>
    <row r="934">
      <c r="O934" s="16"/>
    </row>
    <row r="935">
      <c r="O935" s="16"/>
    </row>
    <row r="936">
      <c r="O936" s="16"/>
    </row>
    <row r="937">
      <c r="O937" s="16"/>
    </row>
    <row r="938">
      <c r="O938" s="16"/>
    </row>
    <row r="939">
      <c r="O939" s="16"/>
    </row>
    <row r="940">
      <c r="O940" s="16"/>
    </row>
    <row r="941">
      <c r="O941" s="16"/>
    </row>
    <row r="942">
      <c r="O942" s="16"/>
    </row>
    <row r="943">
      <c r="O943" s="16"/>
    </row>
    <row r="944">
      <c r="O944" s="16"/>
    </row>
    <row r="945">
      <c r="O945" s="16"/>
    </row>
    <row r="946">
      <c r="O946" s="16"/>
    </row>
    <row r="947">
      <c r="O947" s="16"/>
    </row>
    <row r="948">
      <c r="O948" s="16"/>
    </row>
    <row r="949">
      <c r="O949" s="16"/>
    </row>
    <row r="950">
      <c r="O950" s="16"/>
    </row>
    <row r="951">
      <c r="O951" s="16"/>
    </row>
    <row r="952">
      <c r="O952" s="16"/>
    </row>
    <row r="953">
      <c r="O953" s="16"/>
    </row>
    <row r="954">
      <c r="O954" s="16"/>
    </row>
    <row r="955">
      <c r="O955" s="16"/>
    </row>
    <row r="956">
      <c r="O956" s="16"/>
    </row>
    <row r="957">
      <c r="O957" s="16"/>
    </row>
    <row r="958">
      <c r="O958" s="16"/>
    </row>
    <row r="959">
      <c r="O959" s="16"/>
    </row>
    <row r="960">
      <c r="O960" s="16"/>
    </row>
    <row r="961">
      <c r="O961" s="16"/>
    </row>
    <row r="962">
      <c r="O962" s="16"/>
    </row>
    <row r="963">
      <c r="O963" s="16"/>
    </row>
    <row r="964">
      <c r="O964" s="16"/>
    </row>
    <row r="965">
      <c r="O965" s="16"/>
    </row>
    <row r="966">
      <c r="O966" s="16"/>
    </row>
    <row r="967">
      <c r="O967" s="16"/>
    </row>
    <row r="968">
      <c r="O968" s="16"/>
    </row>
    <row r="969">
      <c r="O969" s="16"/>
    </row>
    <row r="970">
      <c r="O970" s="16"/>
    </row>
    <row r="971">
      <c r="O971" s="16"/>
    </row>
    <row r="972">
      <c r="O972" s="16"/>
    </row>
    <row r="973">
      <c r="O973" s="16"/>
    </row>
    <row r="974">
      <c r="O974" s="16"/>
    </row>
    <row r="975">
      <c r="O975" s="16"/>
    </row>
    <row r="976">
      <c r="O976" s="16"/>
    </row>
    <row r="977">
      <c r="O977" s="16"/>
    </row>
    <row r="978">
      <c r="O978" s="16"/>
    </row>
    <row r="979">
      <c r="O979" s="16"/>
    </row>
    <row r="980">
      <c r="O980" s="16"/>
    </row>
    <row r="981">
      <c r="O981" s="16"/>
    </row>
    <row r="982">
      <c r="O982" s="16"/>
    </row>
    <row r="983">
      <c r="O983" s="16"/>
    </row>
    <row r="984">
      <c r="O984" s="16"/>
    </row>
    <row r="985">
      <c r="O985" s="16"/>
    </row>
    <row r="986">
      <c r="O986" s="16"/>
    </row>
    <row r="987">
      <c r="O987" s="16"/>
    </row>
    <row r="988">
      <c r="O988" s="16"/>
    </row>
    <row r="989">
      <c r="O989" s="16"/>
    </row>
    <row r="990">
      <c r="O990" s="16"/>
    </row>
    <row r="991">
      <c r="O991" s="16"/>
    </row>
    <row r="992">
      <c r="O992" s="16"/>
    </row>
    <row r="993">
      <c r="O993" s="16"/>
    </row>
    <row r="994">
      <c r="O994" s="16"/>
    </row>
    <row r="995">
      <c r="O995" s="16"/>
    </row>
    <row r="996">
      <c r="O996" s="16"/>
    </row>
    <row r="997">
      <c r="O997" s="16"/>
    </row>
    <row r="998">
      <c r="O998" s="16"/>
    </row>
    <row r="999">
      <c r="O999" s="16"/>
    </row>
    <row r="1000">
      <c r="O1000" s="16"/>
    </row>
  </sheetData>
  <drawing r:id="rId1"/>
</worksheet>
</file>